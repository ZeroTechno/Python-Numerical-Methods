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bir\School projects\github\Python numerical method\"/>
    </mc:Choice>
  </mc:AlternateContent>
  <xr:revisionPtr revIDLastSave="0" documentId="8_{ED098D4B-8620-4BBC-BC5E-5AD61E240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ussian Elim" sheetId="1" r:id="rId1"/>
    <sheet name="LU Decomp" sheetId="2" r:id="rId2"/>
    <sheet name="Gauss-Seidel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D21" i="1"/>
  <c r="C21" i="1"/>
  <c r="B21" i="1"/>
  <c r="E16" i="1"/>
  <c r="D16" i="1"/>
  <c r="C16" i="1"/>
  <c r="C23" i="1" s="1"/>
  <c r="B16" i="1"/>
  <c r="E15" i="1"/>
  <c r="D15" i="1"/>
  <c r="C15" i="1"/>
  <c r="B15" i="1"/>
  <c r="E14" i="1"/>
  <c r="E22" i="1" s="1"/>
  <c r="D14" i="1"/>
  <c r="D22" i="1" s="1"/>
  <c r="C14" i="1"/>
  <c r="C22" i="1" s="1"/>
  <c r="B14" i="1"/>
  <c r="B22" i="1" s="1"/>
  <c r="B23" i="1" l="1"/>
  <c r="D23" i="1"/>
  <c r="E23" i="1"/>
  <c r="B27" i="1" s="1"/>
  <c r="B28" i="1" s="1"/>
  <c r="B29" i="1" s="1"/>
</calcChain>
</file>

<file path=xl/sharedStrings.xml><?xml version="1.0" encoding="utf-8"?>
<sst xmlns="http://schemas.openxmlformats.org/spreadsheetml/2006/main" count="160" uniqueCount="103">
  <si>
    <t>STEP 1: Augmented Matrix [A|b]</t>
  </si>
  <si>
    <t>x</t>
  </si>
  <si>
    <t>y</t>
  </si>
  <si>
    <t>z</t>
  </si>
  <si>
    <t>b</t>
  </si>
  <si>
    <t>R1</t>
  </si>
  <si>
    <t>R2</t>
  </si>
  <si>
    <t>R3</t>
  </si>
  <si>
    <t>STEP 2: Forward Elimination – Eliminate x from R2 and R3</t>
  </si>
  <si>
    <t xml:space="preserve">  Multiplier m21 = R2[x]/R1[x] = 3/4 = 0.75    →  R2_new = R2 - m21×R1</t>
  </si>
  <si>
    <t xml:space="preserve">  Multiplier m31 = R3[x]/R1[x] = 1/4 = 0.25    →  R3_new = R3 - m31×R1</t>
  </si>
  <si>
    <t>m21 = 0.75  →  R2'</t>
  </si>
  <si>
    <t>R1 (unchanged)</t>
  </si>
  <si>
    <t>m31 = 0.25  →  R3'</t>
  </si>
  <si>
    <t>STEP 3: Forward Elimination – Eliminate y from R3'</t>
  </si>
  <si>
    <t xml:space="preserve">  Multiplier m32 = R3'[y] / R2'[y]   →  R3_new = R3' - m32×R2'</t>
  </si>
  <si>
    <t>R2' (unchanged)</t>
  </si>
  <si>
    <t>m32 → R3''</t>
  </si>
  <si>
    <t>STEP 4: Back Substitution</t>
  </si>
  <si>
    <t xml:space="preserve">  Upper triangular form achieved. Solve from bottom up.</t>
  </si>
  <si>
    <t>z  =  R3''[b] / R3''[z]</t>
  </si>
  <si>
    <t>y  =  (R2'[b] - R2'[z]×z) / R2'[y]</t>
  </si>
  <si>
    <t>x  =  (R1[b] - R1[y]×y - R1[z]×z) / R1[x]</t>
  </si>
  <si>
    <t>x = 0.5        y = 1.0        z = 0.5</t>
  </si>
  <si>
    <t>Matrix A (input)</t>
  </si>
  <si>
    <t>Upper Triangular Matrix  U</t>
  </si>
  <si>
    <t>Col 1</t>
  </si>
  <si>
    <t>Col 2</t>
  </si>
  <si>
    <t>Col 3</t>
  </si>
  <si>
    <t>Row 1</t>
  </si>
  <si>
    <t>Row 2</t>
  </si>
  <si>
    <t>Row 3</t>
  </si>
  <si>
    <t xml:space="preserve">  U = result of row-reducing A using multipliers stored in L</t>
  </si>
  <si>
    <t>Lower Triangular Matrix  L</t>
  </si>
  <si>
    <t xml:space="preserve">  U[2,2]= 5-0.75×1=4.25=17/4  |  U[2,3]= 1-0.75×2=-0.5  |  U[3,3]≈2.588=44/17</t>
  </si>
  <si>
    <t xml:space="preserve">  L[i,j] = a[i,j]/pivot   for i&gt;j;  diagonal = 1;  upper = 0</t>
  </si>
  <si>
    <t xml:space="preserve">  m21=3/4=0.75  |  m31=1/4=0.25  |  m32=(4.25-0.75×0.25)/4.25 ≈ 0.1765</t>
  </si>
  <si>
    <t>STEP 1: Forward Substitution  LY = b  →  solve Y</t>
  </si>
  <si>
    <t>Y1</t>
  </si>
  <si>
    <t>Y2</t>
  </si>
  <si>
    <t>Y3</t>
  </si>
  <si>
    <t>b (RHS)</t>
  </si>
  <si>
    <t>Y values (forward sub)</t>
  </si>
  <si>
    <t xml:space="preserve">  Y1=b1=4   |   Y2=b2-L21×Y1=7-0.75×4=4   |   Y3=b3-L31×Y1-L32×Y2≈1.294</t>
  </si>
  <si>
    <t>STEP 2: Back Substitution  UX = Y  →  solve X</t>
  </si>
  <si>
    <t>Solution X</t>
  </si>
  <si>
    <t xml:space="preserve">  z=Y3/U33   |   y=(Y2-U23×z)/U22   |   x=(Y1-U12×y-U13×z)/U11</t>
  </si>
  <si>
    <t>Iteration Formulas (rearranged equations)</t>
  </si>
  <si>
    <t xml:space="preserve">  x_new = (4 - y - 2z) / 4          y_new = (7 - 3x - z) / 5          z_new = (3 - x - y) / 3</t>
  </si>
  <si>
    <t xml:space="preserve">  ε (error) = |new - old| / |new| × 100%      Stop when max(ε) &lt; 0.001%</t>
  </si>
  <si>
    <t>Iter</t>
  </si>
  <si>
    <t>|εx| %</t>
  </si>
  <si>
    <t>|εy| %</t>
  </si>
  <si>
    <t>|εz| %</t>
  </si>
  <si>
    <t>Max Error %</t>
  </si>
  <si>
    <t>Converged?</t>
  </si>
  <si>
    <t>0</t>
  </si>
  <si>
    <t>—</t>
  </si>
  <si>
    <t>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</si>
  <si>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</si>
  <si>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</si>
  <si>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</si>
  <si>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</si>
  <si>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</si>
  <si>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</si>
  <si>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</si>
  <si>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</si>
  <si>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</si>
  <si>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</si>
  <si>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x ≈ 0.5        y ≈ 1.0        z ≈ 0.5</t>
  </si>
  <si>
    <t>SUMMARY &amp; COMPARISON OF ALL THREE METHODS</t>
  </si>
  <si>
    <t>Given System:   4x + y + 2z = 4   |   3x + 5y + z = 7   |   x + y + 3z = 3</t>
  </si>
  <si>
    <t>Method</t>
  </si>
  <si>
    <t>Notes</t>
  </si>
  <si>
    <t>Gaussian Elimination</t>
  </si>
  <si>
    <t>0.5</t>
  </si>
  <si>
    <t>1.0</t>
  </si>
  <si>
    <t>Exact; direct row reduction + back substitution</t>
  </si>
  <si>
    <t>LU Decomposition</t>
  </si>
  <si>
    <t>Exact; reusable L &amp; U for different b vectors</t>
  </si>
  <si>
    <t>Gauss-Seidel</t>
  </si>
  <si>
    <t>≈0.5</t>
  </si>
  <si>
    <t>≈1.0</t>
  </si>
  <si>
    <t>Iterative; converges in 10 iterations (tol=0.001%)</t>
  </si>
  <si>
    <t>METHOD COMPARISON</t>
  </si>
  <si>
    <t>Criterion</t>
  </si>
  <si>
    <t>Type</t>
  </si>
  <si>
    <t>Direct</t>
  </si>
  <si>
    <t>Iterative</t>
  </si>
  <si>
    <t>Accuracy</t>
  </si>
  <si>
    <t>Exact</t>
  </si>
  <si>
    <t>Approximate (within tolerance)</t>
  </si>
  <si>
    <t>Best Use</t>
  </si>
  <si>
    <t>General purpose</t>
  </si>
  <si>
    <t>Multiple RHS vectors</t>
  </si>
  <si>
    <t>Large sparse systems</t>
  </si>
  <si>
    <t>Convergence</t>
  </si>
  <si>
    <t>N/A (always exact)</t>
  </si>
  <si>
    <t>~6-8 iterations here</t>
  </si>
  <si>
    <t>LU DECOMPOSITION</t>
  </si>
  <si>
    <t xml:space="preserve"> ANSWER</t>
  </si>
  <si>
    <t>ANSWER</t>
  </si>
  <si>
    <t xml:space="preserve">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</si>
</sst>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J28" sqref="J28"/>
    </sheetView>
  </sheetViews>
  <sheetFormatPr defaultRowHeight="14.4" x14ac:dyDescent="0.3"/>
  <cols>
    <col min="1" max="1" width="28" customWidth="1"/>
    <col min="2" max="7" width="14" customWidth="1"/>
  </cols>
  <sheetData>
    <row r="1" spans="1:5" ht="30" customHeight="1" x14ac:dyDescent="0.3">
      <c r="A1" t="s">
        <v>74</v>
      </c>
    </row>
    <row r="4" spans="1:5" x14ac:dyDescent="0.3">
      <c r="A4" s="1" t="s">
        <v>0</v>
      </c>
      <c r="B4" s="1"/>
      <c r="C4" s="1"/>
      <c r="D4" s="1"/>
      <c r="E4" s="1"/>
    </row>
    <row r="5" spans="1:5" x14ac:dyDescent="0.3">
      <c r="B5" t="s">
        <v>1</v>
      </c>
      <c r="C5" t="s">
        <v>2</v>
      </c>
      <c r="D5" t="s">
        <v>3</v>
      </c>
      <c r="E5" t="s">
        <v>4</v>
      </c>
    </row>
    <row r="6" spans="1:5" x14ac:dyDescent="0.3">
      <c r="A6" t="s">
        <v>5</v>
      </c>
      <c r="B6">
        <v>4</v>
      </c>
      <c r="C6">
        <v>1</v>
      </c>
      <c r="D6">
        <v>2</v>
      </c>
      <c r="E6">
        <v>4</v>
      </c>
    </row>
    <row r="7" spans="1:5" x14ac:dyDescent="0.3">
      <c r="A7" t="s">
        <v>6</v>
      </c>
      <c r="B7">
        <v>3</v>
      </c>
      <c r="C7">
        <v>5</v>
      </c>
      <c r="D7">
        <v>1</v>
      </c>
      <c r="E7">
        <v>7</v>
      </c>
    </row>
    <row r="8" spans="1:5" x14ac:dyDescent="0.3">
      <c r="A8" t="s">
        <v>7</v>
      </c>
      <c r="B8">
        <v>1</v>
      </c>
      <c r="C8">
        <v>1</v>
      </c>
      <c r="D8">
        <v>3</v>
      </c>
      <c r="E8">
        <v>3</v>
      </c>
    </row>
    <row r="10" spans="1:5" x14ac:dyDescent="0.3">
      <c r="A10" s="1" t="s">
        <v>8</v>
      </c>
      <c r="B10" s="1"/>
      <c r="C10" s="1"/>
      <c r="D10" s="1"/>
      <c r="E10" s="1"/>
    </row>
    <row r="11" spans="1:5" x14ac:dyDescent="0.3">
      <c r="A11" s="1" t="s">
        <v>9</v>
      </c>
      <c r="B11" s="1"/>
      <c r="C11" s="1"/>
      <c r="D11" s="1"/>
      <c r="E11" s="1"/>
    </row>
    <row r="12" spans="1:5" x14ac:dyDescent="0.3">
      <c r="A12" s="1" t="s">
        <v>10</v>
      </c>
      <c r="B12" s="1"/>
      <c r="C12" s="1"/>
      <c r="D12" s="1"/>
      <c r="E12" s="1"/>
    </row>
    <row r="13" spans="1:5" x14ac:dyDescent="0.3">
      <c r="B13" t="s">
        <v>1</v>
      </c>
      <c r="C13" t="s">
        <v>2</v>
      </c>
      <c r="D13" t="s">
        <v>3</v>
      </c>
      <c r="E13" t="s">
        <v>4</v>
      </c>
    </row>
    <row r="14" spans="1:5" x14ac:dyDescent="0.3">
      <c r="A14" t="s">
        <v>11</v>
      </c>
      <c r="B14">
        <f>B7-B6/B6*B6</f>
        <v>-1</v>
      </c>
      <c r="C14">
        <f>C7-B6/B6*C6</f>
        <v>4</v>
      </c>
      <c r="D14">
        <f>D7-B6/B6*D6</f>
        <v>-1</v>
      </c>
      <c r="E14">
        <f>E7-B6/B6*E6</f>
        <v>3</v>
      </c>
    </row>
    <row r="15" spans="1:5" x14ac:dyDescent="0.3">
      <c r="A15" t="s">
        <v>12</v>
      </c>
      <c r="B15">
        <f>B6</f>
        <v>4</v>
      </c>
      <c r="C15">
        <f>C6</f>
        <v>1</v>
      </c>
      <c r="D15">
        <f>D6</f>
        <v>2</v>
      </c>
      <c r="E15">
        <f>E6</f>
        <v>4</v>
      </c>
    </row>
    <row r="16" spans="1:5" x14ac:dyDescent="0.3">
      <c r="A16" t="s">
        <v>13</v>
      </c>
      <c r="B16">
        <f>B8-B8/B6*B6</f>
        <v>0</v>
      </c>
      <c r="C16">
        <f>C8-B8/B6*C6</f>
        <v>0.75</v>
      </c>
      <c r="D16">
        <f>D8-B8/B6*D6</f>
        <v>2.5</v>
      </c>
      <c r="E16">
        <f>E8-B8/B6*E6</f>
        <v>2</v>
      </c>
    </row>
    <row r="18" spans="1:5" x14ac:dyDescent="0.3">
      <c r="A18" s="1" t="s">
        <v>14</v>
      </c>
      <c r="B18" s="1"/>
      <c r="C18" s="1"/>
      <c r="D18" s="1"/>
      <c r="E18" s="1"/>
    </row>
    <row r="19" spans="1:5" x14ac:dyDescent="0.3">
      <c r="A19" s="1" t="s">
        <v>15</v>
      </c>
      <c r="B19" s="1"/>
      <c r="C19" s="1"/>
      <c r="D19" s="1"/>
      <c r="E19" s="1"/>
    </row>
    <row r="20" spans="1:5" x14ac:dyDescent="0.3">
      <c r="B20" t="s">
        <v>1</v>
      </c>
      <c r="C20" t="s">
        <v>2</v>
      </c>
      <c r="D20" t="s">
        <v>3</v>
      </c>
      <c r="E20" t="s">
        <v>4</v>
      </c>
    </row>
    <row r="21" spans="1:5" x14ac:dyDescent="0.3">
      <c r="A21" t="s">
        <v>12</v>
      </c>
      <c r="B21">
        <f>B6</f>
        <v>4</v>
      </c>
      <c r="C21">
        <f>C6</f>
        <v>1</v>
      </c>
      <c r="D21">
        <f>D6</f>
        <v>2</v>
      </c>
      <c r="E21">
        <f>E6</f>
        <v>4</v>
      </c>
    </row>
    <row r="22" spans="1:5" x14ac:dyDescent="0.3">
      <c r="A22" t="s">
        <v>16</v>
      </c>
      <c r="B22">
        <f>B14</f>
        <v>-1</v>
      </c>
      <c r="C22">
        <f>C14</f>
        <v>4</v>
      </c>
      <c r="D22">
        <f>D14</f>
        <v>-1</v>
      </c>
      <c r="E22">
        <f>E14</f>
        <v>3</v>
      </c>
    </row>
    <row r="23" spans="1:5" x14ac:dyDescent="0.3">
      <c r="A23" t="s">
        <v>17</v>
      </c>
      <c r="B23">
        <f>B16-C16/C14*B14</f>
        <v>0.1875</v>
      </c>
      <c r="C23">
        <f>C16-C16/C14*C14</f>
        <v>0</v>
      </c>
      <c r="D23">
        <f>D16-C16/C14*D14</f>
        <v>2.6875</v>
      </c>
      <c r="E23">
        <f>E16-C16/C14*E14</f>
        <v>1.4375</v>
      </c>
    </row>
    <row r="25" spans="1:5" x14ac:dyDescent="0.3">
      <c r="A25" s="1" t="s">
        <v>18</v>
      </c>
      <c r="B25" s="1"/>
      <c r="C25" s="1"/>
      <c r="D25" s="1"/>
      <c r="E25" s="1"/>
    </row>
    <row r="26" spans="1:5" x14ac:dyDescent="0.3">
      <c r="A26" s="1" t="s">
        <v>19</v>
      </c>
      <c r="B26" s="1"/>
      <c r="C26" s="1"/>
      <c r="D26" s="1"/>
      <c r="E26" s="1"/>
    </row>
    <row r="27" spans="1:5" x14ac:dyDescent="0.3">
      <c r="A27" t="s">
        <v>20</v>
      </c>
      <c r="B27">
        <f>E23/D23</f>
        <v>0.53488372093023251</v>
      </c>
    </row>
    <row r="28" spans="1:5" x14ac:dyDescent="0.3">
      <c r="A28" t="s">
        <v>21</v>
      </c>
      <c r="B28">
        <f>(E22-D22*B27)/C22</f>
        <v>0.88372093023255816</v>
      </c>
    </row>
    <row r="29" spans="1:5" x14ac:dyDescent="0.3">
      <c r="A29" t="s">
        <v>22</v>
      </c>
      <c r="B29">
        <f>(E21-C21*B28-D21*B27)/B21</f>
        <v>0.51162790697674421</v>
      </c>
    </row>
    <row r="31" spans="1:5" x14ac:dyDescent="0.3">
      <c r="A31" s="1" t="s">
        <v>100</v>
      </c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 t="s">
        <v>23</v>
      </c>
      <c r="B33" s="1"/>
      <c r="C33" s="1"/>
      <c r="D33" s="1"/>
      <c r="E33" s="1"/>
    </row>
  </sheetData>
  <mergeCells count="11">
    <mergeCell ref="A4:E4"/>
    <mergeCell ref="A26:E26"/>
    <mergeCell ref="A10:E10"/>
    <mergeCell ref="A25:E25"/>
    <mergeCell ref="A19:E19"/>
    <mergeCell ref="A11:E11"/>
    <mergeCell ref="A33:E33"/>
    <mergeCell ref="A32:E32"/>
    <mergeCell ref="A31:E31"/>
    <mergeCell ref="A18:E18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opLeftCell="A11" workbookViewId="0">
      <selection activeCell="A29" sqref="A29:D29"/>
    </sheetView>
  </sheetViews>
  <sheetFormatPr defaultRowHeight="14.4" x14ac:dyDescent="0.3"/>
  <cols>
    <col min="1" max="1" width="28" customWidth="1"/>
    <col min="2" max="9" width="13" customWidth="1"/>
  </cols>
  <sheetData>
    <row r="1" spans="1:9" ht="30" customHeight="1" x14ac:dyDescent="0.3">
      <c r="A1" t="s">
        <v>99</v>
      </c>
    </row>
    <row r="4" spans="1:9" x14ac:dyDescent="0.3">
      <c r="A4" s="1" t="s">
        <v>24</v>
      </c>
      <c r="B4" s="1"/>
      <c r="C4" s="1"/>
      <c r="D4" s="1"/>
      <c r="F4" s="1" t="s">
        <v>25</v>
      </c>
      <c r="G4" s="1"/>
      <c r="H4" s="1"/>
    </row>
    <row r="5" spans="1:9" x14ac:dyDescent="0.3">
      <c r="B5" t="s">
        <v>26</v>
      </c>
      <c r="C5" t="s">
        <v>27</v>
      </c>
      <c r="D5" t="s">
        <v>28</v>
      </c>
      <c r="G5" t="s">
        <v>26</v>
      </c>
      <c r="H5" t="s">
        <v>27</v>
      </c>
      <c r="I5" s="1" t="s">
        <v>28</v>
      </c>
    </row>
    <row r="6" spans="1:9" x14ac:dyDescent="0.3">
      <c r="A6" t="s">
        <v>29</v>
      </c>
      <c r="B6">
        <v>4</v>
      </c>
      <c r="C6">
        <v>1</v>
      </c>
      <c r="D6">
        <v>2</v>
      </c>
      <c r="F6" t="s">
        <v>29</v>
      </c>
      <c r="G6">
        <v>4</v>
      </c>
      <c r="H6">
        <v>1</v>
      </c>
      <c r="I6">
        <v>2</v>
      </c>
    </row>
    <row r="7" spans="1:9" x14ac:dyDescent="0.3">
      <c r="A7" t="s">
        <v>30</v>
      </c>
      <c r="B7">
        <v>3</v>
      </c>
      <c r="C7">
        <v>5</v>
      </c>
      <c r="D7">
        <v>1</v>
      </c>
      <c r="F7" t="s">
        <v>30</v>
      </c>
      <c r="G7">
        <v>0</v>
      </c>
      <c r="H7">
        <v>4.25</v>
      </c>
      <c r="I7">
        <v>-0.5</v>
      </c>
    </row>
    <row r="8" spans="1:9" x14ac:dyDescent="0.3">
      <c r="A8" t="s">
        <v>31</v>
      </c>
      <c r="B8">
        <v>1</v>
      </c>
      <c r="C8">
        <v>1</v>
      </c>
      <c r="D8">
        <v>3</v>
      </c>
      <c r="F8" t="s">
        <v>31</v>
      </c>
      <c r="G8">
        <v>0</v>
      </c>
      <c r="H8">
        <v>0</v>
      </c>
      <c r="I8">
        <v>2.5882352941176472</v>
      </c>
    </row>
    <row r="9" spans="1:9" x14ac:dyDescent="0.3">
      <c r="F9" s="1" t="s">
        <v>32</v>
      </c>
      <c r="G9" s="1"/>
      <c r="H9" s="1"/>
      <c r="I9" s="1"/>
    </row>
    <row r="10" spans="1:9" x14ac:dyDescent="0.3">
      <c r="A10" s="1" t="s">
        <v>33</v>
      </c>
      <c r="B10" s="1"/>
      <c r="C10" s="1"/>
      <c r="D10" s="1"/>
      <c r="F10" s="1" t="s">
        <v>34</v>
      </c>
      <c r="G10" s="1"/>
      <c r="H10" s="1"/>
      <c r="I10" s="1"/>
    </row>
    <row r="11" spans="1:9" x14ac:dyDescent="0.3">
      <c r="B11" t="s">
        <v>26</v>
      </c>
      <c r="C11" t="s">
        <v>27</v>
      </c>
      <c r="D11" t="s">
        <v>28</v>
      </c>
    </row>
    <row r="12" spans="1:9" x14ac:dyDescent="0.3">
      <c r="A12" t="s">
        <v>29</v>
      </c>
      <c r="B12">
        <v>1</v>
      </c>
      <c r="C12">
        <v>0</v>
      </c>
      <c r="D12">
        <v>0</v>
      </c>
    </row>
    <row r="13" spans="1:9" x14ac:dyDescent="0.3">
      <c r="A13" t="s">
        <v>30</v>
      </c>
      <c r="B13">
        <v>0.75</v>
      </c>
      <c r="C13">
        <v>1</v>
      </c>
      <c r="D13">
        <v>0</v>
      </c>
    </row>
    <row r="14" spans="1:9" x14ac:dyDescent="0.3">
      <c r="A14" t="s">
        <v>31</v>
      </c>
      <c r="B14">
        <v>0.25</v>
      </c>
      <c r="C14">
        <v>0.1764705882352941</v>
      </c>
      <c r="D14">
        <v>1</v>
      </c>
    </row>
    <row r="15" spans="1:9" x14ac:dyDescent="0.3">
      <c r="A15" s="1" t="s">
        <v>35</v>
      </c>
      <c r="B15" s="1"/>
      <c r="C15" s="1"/>
      <c r="D15" s="1"/>
    </row>
    <row r="16" spans="1:9" x14ac:dyDescent="0.3">
      <c r="A16" s="1" t="s">
        <v>36</v>
      </c>
      <c r="B16" s="1"/>
      <c r="C16" s="1"/>
      <c r="D16" s="1"/>
    </row>
    <row r="18" spans="1:4" x14ac:dyDescent="0.3">
      <c r="A18" s="1" t="s">
        <v>37</v>
      </c>
      <c r="B18" s="1"/>
      <c r="C18" s="1"/>
      <c r="D18" s="1"/>
    </row>
    <row r="19" spans="1:4" x14ac:dyDescent="0.3">
      <c r="B19" t="s">
        <v>38</v>
      </c>
      <c r="C19" t="s">
        <v>39</v>
      </c>
      <c r="D19" t="s">
        <v>40</v>
      </c>
    </row>
    <row r="20" spans="1:4" x14ac:dyDescent="0.3">
      <c r="A20" t="s">
        <v>41</v>
      </c>
      <c r="B20">
        <v>4</v>
      </c>
      <c r="C20">
        <v>7</v>
      </c>
      <c r="D20">
        <v>3</v>
      </c>
    </row>
    <row r="21" spans="1:4" x14ac:dyDescent="0.3">
      <c r="A21" t="s">
        <v>42</v>
      </c>
      <c r="B21">
        <v>4</v>
      </c>
      <c r="C21">
        <v>4</v>
      </c>
      <c r="D21">
        <v>1.2941176470588229</v>
      </c>
    </row>
    <row r="22" spans="1:4" x14ac:dyDescent="0.3">
      <c r="A22" s="1" t="s">
        <v>43</v>
      </c>
      <c r="B22" s="1"/>
      <c r="C22" s="1"/>
      <c r="D22" s="1"/>
    </row>
    <row r="24" spans="1:4" x14ac:dyDescent="0.3">
      <c r="A24" s="1" t="s">
        <v>44</v>
      </c>
      <c r="B24" s="1"/>
      <c r="C24" s="1"/>
      <c r="D24" s="1"/>
    </row>
    <row r="25" spans="1:4" x14ac:dyDescent="0.3">
      <c r="B25" t="s">
        <v>1</v>
      </c>
      <c r="C25" t="s">
        <v>2</v>
      </c>
      <c r="D25" t="s">
        <v>3</v>
      </c>
    </row>
    <row r="26" spans="1:4" x14ac:dyDescent="0.3">
      <c r="A26" t="s">
        <v>45</v>
      </c>
      <c r="B26">
        <v>0.5</v>
      </c>
      <c r="C26">
        <v>1</v>
      </c>
      <c r="D26">
        <v>0.49999999999999989</v>
      </c>
    </row>
    <row r="27" spans="1:4" x14ac:dyDescent="0.3">
      <c r="A27" s="1" t="s">
        <v>46</v>
      </c>
      <c r="B27" s="1"/>
      <c r="C27" s="1"/>
      <c r="D27" s="1"/>
    </row>
    <row r="29" spans="1:4" x14ac:dyDescent="0.3">
      <c r="A29" s="1" t="s">
        <v>100</v>
      </c>
      <c r="B29" s="1"/>
      <c r="C29" s="1"/>
      <c r="D29" s="1"/>
    </row>
    <row r="30" spans="1:4" x14ac:dyDescent="0.3">
      <c r="A30" s="1" t="s">
        <v>23</v>
      </c>
      <c r="B30" s="1"/>
      <c r="C30" s="1"/>
      <c r="D30" s="1"/>
    </row>
  </sheetData>
  <mergeCells count="14">
    <mergeCell ref="A10:D10"/>
    <mergeCell ref="F10:I10"/>
    <mergeCell ref="A4:D4"/>
    <mergeCell ref="A30:D30"/>
    <mergeCell ref="A15:D15"/>
    <mergeCell ref="A29:D29"/>
    <mergeCell ref="F4:H4"/>
    <mergeCell ref="A24:D24"/>
    <mergeCell ref="A16:D16"/>
    <mergeCell ref="I5"/>
    <mergeCell ref="A18:D18"/>
    <mergeCell ref="A27:D27"/>
    <mergeCell ref="F9:I9"/>
    <mergeCell ref="A22:D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>
      <selection activeCell="A23" sqref="A23:I23"/>
    </sheetView>
  </sheetViews>
  <sheetFormatPr defaultRowHeight="14.4" x14ac:dyDescent="0.3"/>
  <cols>
    <col min="1" max="1" width="10" customWidth="1"/>
    <col min="2" max="9" width="14" customWidth="1"/>
  </cols>
  <sheetData>
    <row r="1" spans="1:9" ht="30" customHeight="1" x14ac:dyDescent="0.3">
      <c r="A1" t="s">
        <v>80</v>
      </c>
    </row>
    <row r="4" spans="1:9" x14ac:dyDescent="0.3">
      <c r="A4" s="1" t="s">
        <v>47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48</v>
      </c>
      <c r="B5" s="1"/>
      <c r="C5" s="1"/>
      <c r="D5" s="1"/>
      <c r="E5" s="1"/>
      <c r="F5" s="1"/>
      <c r="G5" s="1"/>
      <c r="H5" s="1"/>
      <c r="I5" s="1"/>
    </row>
    <row r="6" spans="1:9" x14ac:dyDescent="0.3">
      <c r="A6" s="1" t="s">
        <v>49</v>
      </c>
      <c r="B6" s="1"/>
      <c r="C6" s="1"/>
      <c r="D6" s="1"/>
      <c r="E6" s="1"/>
      <c r="F6" s="1"/>
      <c r="G6" s="1"/>
      <c r="H6" s="1"/>
      <c r="I6" s="1"/>
    </row>
    <row r="8" spans="1:9" x14ac:dyDescent="0.3">
      <c r="A8" t="s">
        <v>50</v>
      </c>
      <c r="B8" t="s">
        <v>1</v>
      </c>
      <c r="C8" t="s">
        <v>2</v>
      </c>
      <c r="D8" t="s">
        <v>3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3">
      <c r="A9" t="s">
        <v>56</v>
      </c>
      <c r="B9">
        <v>0</v>
      </c>
      <c r="C9">
        <v>0</v>
      </c>
      <c r="D9">
        <v>0</v>
      </c>
      <c r="E9" t="s">
        <v>57</v>
      </c>
      <c r="F9" t="s">
        <v>57</v>
      </c>
      <c r="G9" t="s">
        <v>57</v>
      </c>
      <c r="H9" t="s">
        <v>57</v>
      </c>
      <c r="I9" t="s">
        <v>58</v>
      </c>
    </row>
    <row r="10" spans="1:9" x14ac:dyDescent="0.3">
      <c r="A10" t="s">
        <v>59</v>
      </c>
      <c r="B10">
        <v>1</v>
      </c>
      <c r="C10">
        <v>0.8</v>
      </c>
      <c r="D10">
        <v>0.4</v>
      </c>
      <c r="E10">
        <v>100</v>
      </c>
      <c r="F10">
        <v>100</v>
      </c>
      <c r="G10">
        <v>100</v>
      </c>
      <c r="H10">
        <v>100</v>
      </c>
      <c r="I10" t="s">
        <v>58</v>
      </c>
    </row>
    <row r="11" spans="1:9" x14ac:dyDescent="0.3">
      <c r="A11" t="s">
        <v>60</v>
      </c>
      <c r="B11">
        <v>0.60000000000000009</v>
      </c>
      <c r="C11">
        <v>0.95999999999999974</v>
      </c>
      <c r="D11">
        <v>0.48</v>
      </c>
      <c r="E11">
        <v>66.666666666666643</v>
      </c>
      <c r="F11">
        <v>16.666666666666639</v>
      </c>
      <c r="G11">
        <v>16.666666666666679</v>
      </c>
      <c r="H11">
        <v>66.666666666666643</v>
      </c>
      <c r="I11" t="s">
        <v>58</v>
      </c>
    </row>
    <row r="12" spans="1:9" x14ac:dyDescent="0.3">
      <c r="A12" t="s">
        <v>61</v>
      </c>
      <c r="B12">
        <v>0.52</v>
      </c>
      <c r="C12">
        <v>0.99199999999999977</v>
      </c>
      <c r="D12">
        <v>0.49600000000000011</v>
      </c>
      <c r="E12">
        <v>15.384615384615399</v>
      </c>
      <c r="F12">
        <v>3.225806451612907</v>
      </c>
      <c r="G12">
        <v>3.2258064516129061</v>
      </c>
      <c r="H12">
        <v>15.384615384615399</v>
      </c>
      <c r="I12" t="s">
        <v>58</v>
      </c>
    </row>
    <row r="13" spans="1:9" x14ac:dyDescent="0.3">
      <c r="A13" t="s">
        <v>62</v>
      </c>
      <c r="B13">
        <v>0.504</v>
      </c>
      <c r="C13">
        <v>0.99839999999999984</v>
      </c>
      <c r="D13">
        <v>0.49920000000000009</v>
      </c>
      <c r="E13">
        <v>3.1746031746031771</v>
      </c>
      <c r="F13">
        <v>0.64102564102564841</v>
      </c>
      <c r="G13">
        <v>0.64102564102564807</v>
      </c>
      <c r="H13">
        <v>3.1746031746031771</v>
      </c>
      <c r="I13" t="s">
        <v>58</v>
      </c>
    </row>
    <row r="14" spans="1:9" x14ac:dyDescent="0.3">
      <c r="A14" t="s">
        <v>63</v>
      </c>
      <c r="B14">
        <v>0.50080000000000002</v>
      </c>
      <c r="C14">
        <v>0.99968000000000001</v>
      </c>
      <c r="D14">
        <v>0.49984000000000001</v>
      </c>
      <c r="E14">
        <v>0.63897763578274369</v>
      </c>
      <c r="F14">
        <v>0.1280409731114126</v>
      </c>
      <c r="G14">
        <v>0.1280409731113793</v>
      </c>
      <c r="H14">
        <v>0.63897763578274369</v>
      </c>
      <c r="I14" t="s">
        <v>58</v>
      </c>
    </row>
    <row r="15" spans="1:9" x14ac:dyDescent="0.3">
      <c r="A15" t="s">
        <v>64</v>
      </c>
      <c r="B15">
        <v>0.50015999999999994</v>
      </c>
      <c r="C15">
        <v>0.99993600000000016</v>
      </c>
      <c r="D15">
        <v>0.49996799999999991</v>
      </c>
      <c r="E15">
        <v>0.127959053103024</v>
      </c>
      <c r="F15">
        <v>2.5601638504878808E-2</v>
      </c>
      <c r="G15">
        <v>2.5601638504845509E-2</v>
      </c>
      <c r="H15">
        <v>0.127959053103024</v>
      </c>
      <c r="I15" t="s">
        <v>58</v>
      </c>
    </row>
    <row r="16" spans="1:9" x14ac:dyDescent="0.3">
      <c r="A16" t="s">
        <v>65</v>
      </c>
      <c r="B16">
        <v>0.50003200000000003</v>
      </c>
      <c r="C16">
        <v>0.99998719999999996</v>
      </c>
      <c r="D16">
        <v>0.49999359999999998</v>
      </c>
      <c r="E16">
        <v>2.5598361704832089E-2</v>
      </c>
      <c r="F16">
        <v>5.1200655368195671E-3</v>
      </c>
      <c r="G16">
        <v>5.1200655368528747E-3</v>
      </c>
      <c r="H16">
        <v>2.5598361704832089E-2</v>
      </c>
      <c r="I16" t="s">
        <v>58</v>
      </c>
    </row>
    <row r="17" spans="1:9" x14ac:dyDescent="0.3">
      <c r="A17" t="s">
        <v>66</v>
      </c>
      <c r="B17">
        <v>0.50000639999999996</v>
      </c>
      <c r="C17">
        <v>0.99999744000000013</v>
      </c>
      <c r="D17">
        <v>0.49999872000000001</v>
      </c>
      <c r="E17">
        <v>5.119934464852852E-3</v>
      </c>
      <c r="F17">
        <v>1.0240026214628341E-3</v>
      </c>
      <c r="G17">
        <v>1.0240026214406301E-3</v>
      </c>
      <c r="H17">
        <v>5.119934464852852E-3</v>
      </c>
      <c r="I17" t="s">
        <v>58</v>
      </c>
    </row>
    <row r="18" spans="1:9" x14ac:dyDescent="0.3">
      <c r="A18" t="s">
        <v>67</v>
      </c>
      <c r="B18">
        <v>0.50000127999999999</v>
      </c>
      <c r="C18">
        <v>0.99999948800000005</v>
      </c>
      <c r="D18">
        <v>0.49999974399999991</v>
      </c>
      <c r="E18">
        <v>1.023997378560629E-3</v>
      </c>
      <c r="F18">
        <v>2.048001048497761E-4</v>
      </c>
      <c r="G18">
        <v>2.048001048497761E-4</v>
      </c>
      <c r="H18">
        <v>1.023997378560629E-3</v>
      </c>
      <c r="I18" t="s">
        <v>58</v>
      </c>
    </row>
    <row r="19" spans="1:9" x14ac:dyDescent="0.3">
      <c r="A19" t="s">
        <v>68</v>
      </c>
      <c r="B19">
        <v>0.50000025599999998</v>
      </c>
      <c r="C19">
        <v>0.99999989760000008</v>
      </c>
      <c r="D19">
        <v>0.49999994879999998</v>
      </c>
      <c r="E19">
        <v>2.0479989514567829E-4</v>
      </c>
      <c r="F19">
        <v>4.09600041971698E-5</v>
      </c>
      <c r="G19">
        <v>4.0960004219374261E-5</v>
      </c>
      <c r="H19">
        <v>2.0479989514567829E-4</v>
      </c>
      <c r="I19" t="s">
        <v>102</v>
      </c>
    </row>
    <row r="22" spans="1:9" x14ac:dyDescent="0.3">
      <c r="A22" s="1" t="s">
        <v>101</v>
      </c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 t="s">
        <v>69</v>
      </c>
      <c r="B23" s="1"/>
      <c r="C23" s="1"/>
      <c r="D23" s="1"/>
      <c r="E23" s="1"/>
      <c r="F23" s="1"/>
      <c r="G23" s="1"/>
      <c r="H23" s="1"/>
      <c r="I23" s="1"/>
    </row>
  </sheetData>
  <mergeCells count="5">
    <mergeCell ref="A5:I5"/>
    <mergeCell ref="A23:I23"/>
    <mergeCell ref="A6:I6"/>
    <mergeCell ref="A22:I22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O14" sqref="O14"/>
    </sheetView>
  </sheetViews>
  <sheetFormatPr defaultRowHeight="14.4" x14ac:dyDescent="0.3"/>
  <cols>
    <col min="1" max="1" width="30" customWidth="1"/>
    <col min="2" max="5" width="20" customWidth="1"/>
  </cols>
  <sheetData>
    <row r="1" spans="1:5" ht="35.1" customHeight="1" x14ac:dyDescent="0.3">
      <c r="A1" s="1" t="s">
        <v>70</v>
      </c>
      <c r="B1" s="1"/>
      <c r="C1" s="1"/>
      <c r="D1" s="1"/>
      <c r="E1" s="1"/>
    </row>
    <row r="2" spans="1:5" x14ac:dyDescent="0.3">
      <c r="A2" s="1" t="s">
        <v>71</v>
      </c>
      <c r="B2" s="1"/>
      <c r="C2" s="1"/>
      <c r="D2" s="1"/>
      <c r="E2" s="1"/>
    </row>
    <row r="4" spans="1:5" x14ac:dyDescent="0.3">
      <c r="A4" t="s">
        <v>72</v>
      </c>
      <c r="B4" t="s">
        <v>1</v>
      </c>
      <c r="C4" t="s">
        <v>2</v>
      </c>
      <c r="D4" t="s">
        <v>3</v>
      </c>
      <c r="E4" t="s">
        <v>73</v>
      </c>
    </row>
    <row r="5" spans="1:5" x14ac:dyDescent="0.3">
      <c r="A5" t="s">
        <v>74</v>
      </c>
      <c r="B5" t="s">
        <v>75</v>
      </c>
      <c r="C5" t="s">
        <v>76</v>
      </c>
      <c r="D5" t="s">
        <v>75</v>
      </c>
      <c r="E5" t="s">
        <v>77</v>
      </c>
    </row>
    <row r="6" spans="1:5" x14ac:dyDescent="0.3">
      <c r="A6" t="s">
        <v>78</v>
      </c>
      <c r="B6" t="s">
        <v>75</v>
      </c>
      <c r="C6" t="s">
        <v>76</v>
      </c>
      <c r="D6" t="s">
        <v>75</v>
      </c>
      <c r="E6" t="s">
        <v>79</v>
      </c>
    </row>
    <row r="7" spans="1:5" x14ac:dyDescent="0.3">
      <c r="A7" t="s">
        <v>80</v>
      </c>
      <c r="B7" t="s">
        <v>81</v>
      </c>
      <c r="C7" t="s">
        <v>82</v>
      </c>
      <c r="D7" t="s">
        <v>81</v>
      </c>
      <c r="E7" t="s">
        <v>83</v>
      </c>
    </row>
    <row r="9" spans="1:5" x14ac:dyDescent="0.3">
      <c r="A9" s="1" t="s">
        <v>84</v>
      </c>
      <c r="B9" s="1"/>
      <c r="C9" s="1"/>
      <c r="D9" s="1"/>
      <c r="E9" s="1"/>
    </row>
    <row r="10" spans="1:5" x14ac:dyDescent="0.3">
      <c r="A10" t="s">
        <v>85</v>
      </c>
      <c r="B10" t="s">
        <v>74</v>
      </c>
      <c r="C10" t="s">
        <v>78</v>
      </c>
      <c r="D10" t="s">
        <v>80</v>
      </c>
      <c r="E10" s="1"/>
    </row>
    <row r="11" spans="1:5" x14ac:dyDescent="0.3">
      <c r="A11" t="s">
        <v>86</v>
      </c>
      <c r="B11" t="s">
        <v>87</v>
      </c>
      <c r="C11" t="s">
        <v>87</v>
      </c>
      <c r="D11" t="s">
        <v>88</v>
      </c>
    </row>
    <row r="12" spans="1:5" x14ac:dyDescent="0.3">
      <c r="A12" t="s">
        <v>89</v>
      </c>
      <c r="B12" t="s">
        <v>90</v>
      </c>
      <c r="C12" t="s">
        <v>90</v>
      </c>
      <c r="D12" t="s">
        <v>91</v>
      </c>
    </row>
    <row r="13" spans="1:5" x14ac:dyDescent="0.3">
      <c r="A13" t="s">
        <v>92</v>
      </c>
      <c r="B13" t="s">
        <v>93</v>
      </c>
      <c r="C13" t="s">
        <v>94</v>
      </c>
      <c r="D13" t="s">
        <v>95</v>
      </c>
    </row>
    <row r="14" spans="1:5" x14ac:dyDescent="0.3">
      <c r="A14" t="s">
        <v>96</v>
      </c>
      <c r="B14" t="s">
        <v>97</v>
      </c>
      <c r="C14" t="s">
        <v>97</v>
      </c>
      <c r="D14" t="s">
        <v>98</v>
      </c>
    </row>
  </sheetData>
  <mergeCells count="4">
    <mergeCell ref="A2:E2"/>
    <mergeCell ref="A1:E1"/>
    <mergeCell ref="A9:E9"/>
    <mergeCell ref="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Gaussian Elim</vt:lpstr>
      <vt:lpstr>LU Decomp</vt:lpstr>
      <vt:lpstr>Gauss-Seidel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ZeroTechno</dc:creator>
  <cp:lastModifiedBy>Sabir Nour</cp:lastModifiedBy>
  <dcterms:created xsi:type="dcterms:W3CDTF">2026-05-18T11:29:26Z</dcterms:created>
  <dcterms:modified xsi:type="dcterms:W3CDTF">2026-05-28T13:00:16Z</dcterms:modified>
</cp:coreProperties>
</file>